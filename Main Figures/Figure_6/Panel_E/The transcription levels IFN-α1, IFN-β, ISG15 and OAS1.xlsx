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webmailhzaueducn-my.sharepoint.com/personal/wz1993_webmail_hzau_edu_cn/Documents/vRic-seq/rephased manuscript/修订稿/"/>
    </mc:Choice>
  </mc:AlternateContent>
  <xr:revisionPtr revIDLastSave="418" documentId="11_AD4DA82427541F7ACA7EB8A2F84B23526AE8DE16" xr6:coauthVersionLast="47" xr6:coauthVersionMax="47" xr10:uidLastSave="{1B58F17B-4261-4131-8EF8-5F2EAD716B30}"/>
  <bookViews>
    <workbookView xWindow="-120" yWindow="-120" windowWidth="29040" windowHeight="15720" xr2:uid="{00000000-000D-0000-FFFF-FFFF00000000}"/>
  </bookViews>
  <sheets>
    <sheet name="Relative expression levels" sheetId="1" r:id="rId1"/>
    <sheet name="CT" sheetId="2" r:id="rId2"/>
    <sheet name="N cop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B8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B7" i="1"/>
  <c r="P9" i="1"/>
  <c r="N9" i="1"/>
  <c r="L9" i="1"/>
  <c r="J9" i="1"/>
  <c r="H9" i="1"/>
  <c r="F9" i="1"/>
  <c r="D9" i="1"/>
  <c r="B9" i="1"/>
  <c r="C13" i="3"/>
  <c r="F50" i="2"/>
  <c r="F51" i="2"/>
  <c r="F52" i="2"/>
  <c r="E52" i="2"/>
  <c r="E50" i="2"/>
  <c r="E51" i="2"/>
  <c r="F43" i="2"/>
  <c r="F44" i="2"/>
  <c r="E39" i="2"/>
  <c r="E38" i="2"/>
  <c r="E44" i="2"/>
  <c r="E43" i="2"/>
  <c r="E42" i="2"/>
  <c r="H22" i="2"/>
  <c r="H27" i="2" s="1"/>
  <c r="G22" i="2"/>
  <c r="G27" i="2" s="1"/>
  <c r="F38" i="2"/>
  <c r="D10" i="3"/>
  <c r="D11" i="3"/>
  <c r="D9" i="3"/>
  <c r="C10" i="3"/>
  <c r="C11" i="3"/>
  <c r="C9" i="3"/>
  <c r="E34" i="2"/>
  <c r="E47" i="2" s="1"/>
  <c r="F34" i="2"/>
  <c r="F46" i="2" s="1"/>
  <c r="F28" i="2"/>
  <c r="F27" i="2"/>
  <c r="F26" i="2"/>
  <c r="F29" i="2" s="1"/>
  <c r="G15" i="2"/>
  <c r="H15" i="2"/>
  <c r="G16" i="2"/>
  <c r="H16" i="2"/>
  <c r="G17" i="2"/>
  <c r="H17" i="2"/>
  <c r="F17" i="2"/>
  <c r="F16" i="2"/>
  <c r="F15" i="2"/>
  <c r="F18" i="2" s="1"/>
  <c r="H13" i="2"/>
  <c r="G13" i="2"/>
  <c r="F13" i="2"/>
  <c r="H12" i="2"/>
  <c r="G12" i="2"/>
  <c r="F12" i="2"/>
  <c r="H11" i="2"/>
  <c r="G11" i="2"/>
  <c r="F11" i="2"/>
  <c r="F14" i="2" s="1"/>
  <c r="G9" i="2"/>
  <c r="H9" i="2"/>
  <c r="H8" i="2"/>
  <c r="G8" i="2"/>
  <c r="F8" i="2"/>
  <c r="G7" i="2"/>
  <c r="H7" i="2"/>
  <c r="F7" i="2"/>
  <c r="F10" i="2" s="1"/>
  <c r="F22" i="2"/>
  <c r="K9" i="2" l="1"/>
  <c r="J8" i="2"/>
  <c r="K8" i="2"/>
  <c r="J9" i="2"/>
  <c r="K7" i="2"/>
  <c r="J7" i="2"/>
  <c r="J13" i="2"/>
  <c r="J11" i="2"/>
  <c r="K12" i="2"/>
  <c r="K11" i="2"/>
  <c r="J12" i="2"/>
  <c r="K13" i="2"/>
  <c r="J15" i="2"/>
  <c r="K15" i="2"/>
  <c r="K17" i="2"/>
  <c r="K16" i="2"/>
  <c r="J16" i="2"/>
  <c r="J17" i="2"/>
  <c r="H26" i="2"/>
  <c r="K26" i="2" s="1"/>
  <c r="H28" i="2"/>
  <c r="K28" i="2" s="1"/>
  <c r="F42" i="2"/>
  <c r="F39" i="2"/>
  <c r="F40" i="2"/>
  <c r="F48" i="2"/>
  <c r="G28" i="2"/>
  <c r="J28" i="2" s="1"/>
  <c r="E46" i="2"/>
  <c r="E48" i="2"/>
  <c r="F47" i="2"/>
  <c r="G26" i="2"/>
  <c r="J26" i="2" s="1"/>
  <c r="E41" i="2"/>
  <c r="I40" i="2" s="1"/>
  <c r="E40" i="2"/>
  <c r="H40" i="2"/>
  <c r="H38" i="2"/>
  <c r="H39" i="2"/>
  <c r="J27" i="2"/>
  <c r="K27" i="2"/>
  <c r="I38" i="2" l="1"/>
  <c r="I39" i="2"/>
  <c r="E45" i="2"/>
  <c r="H44" i="2" l="1"/>
  <c r="I43" i="2"/>
  <c r="H43" i="2"/>
  <c r="I44" i="2"/>
  <c r="I42" i="2"/>
  <c r="H42" i="2"/>
  <c r="E49" i="2"/>
  <c r="H48" i="2" l="1"/>
  <c r="H47" i="2"/>
  <c r="H46" i="2"/>
  <c r="I47" i="2"/>
  <c r="I46" i="2"/>
  <c r="I48" i="2"/>
  <c r="E53" i="2"/>
  <c r="I52" i="2" l="1"/>
  <c r="H50" i="2"/>
  <c r="H52" i="2"/>
  <c r="I51" i="2"/>
  <c r="H51" i="2"/>
  <c r="I50" i="2"/>
</calcChain>
</file>

<file path=xl/sharedStrings.xml><?xml version="1.0" encoding="utf-8"?>
<sst xmlns="http://schemas.openxmlformats.org/spreadsheetml/2006/main" count="95" uniqueCount="27">
  <si>
    <t>Gene</t>
    <phoneticPr fontId="1" type="noConversion"/>
  </si>
  <si>
    <t>Condition</t>
    <phoneticPr fontId="1" type="noConversion"/>
  </si>
  <si>
    <t>Group</t>
    <phoneticPr fontId="1" type="noConversion"/>
  </si>
  <si>
    <t>PDCoV</t>
    <phoneticPr fontId="1" type="noConversion"/>
  </si>
  <si>
    <t>Mock</t>
    <phoneticPr fontId="1" type="noConversion"/>
  </si>
  <si>
    <t xml:space="preserve">Vector </t>
    <phoneticPr fontId="1" type="noConversion"/>
  </si>
  <si>
    <t>ORFUTR3</t>
    <phoneticPr fontId="1" type="noConversion"/>
  </si>
  <si>
    <t>IFN-α1</t>
    <phoneticPr fontId="1" type="noConversion"/>
  </si>
  <si>
    <t>ISG15</t>
  </si>
  <si>
    <t>IFN-β</t>
    <phoneticPr fontId="1" type="noConversion"/>
  </si>
  <si>
    <t xml:space="preserve"> OAS1</t>
    <phoneticPr fontId="1" type="noConversion"/>
  </si>
  <si>
    <t>β actin</t>
  </si>
  <si>
    <t>IFN α1</t>
  </si>
  <si>
    <t>OAS1</t>
  </si>
  <si>
    <t>IFN β</t>
  </si>
  <si>
    <t>ΔCt</t>
    <phoneticPr fontId="1" type="noConversion"/>
  </si>
  <si>
    <t>Mean</t>
    <phoneticPr fontId="1" type="noConversion"/>
  </si>
  <si>
    <t>Relative expression levels</t>
    <phoneticPr fontId="1" type="noConversion"/>
  </si>
  <si>
    <t>CT</t>
    <phoneticPr fontId="1" type="noConversion"/>
  </si>
  <si>
    <t>CT_mean</t>
    <phoneticPr fontId="1" type="noConversion"/>
  </si>
  <si>
    <t>log10(N)</t>
  </si>
  <si>
    <t>log10(N)</t>
    <phoneticPr fontId="1" type="noConversion"/>
  </si>
  <si>
    <r>
      <t>ct</t>
    </r>
    <r>
      <rPr>
        <sz val="11"/>
        <color theme="1"/>
        <rFont val="等线"/>
        <family val="2"/>
      </rPr>
      <t>值</t>
    </r>
  </si>
  <si>
    <t>Log10(N) = -0.3039CT + 11.262</t>
    <phoneticPr fontId="1" type="noConversion"/>
  </si>
  <si>
    <t>P-value (one-tailed t-test )</t>
    <phoneticPr fontId="1" type="noConversion"/>
  </si>
  <si>
    <t>mean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</si>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</sst>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#,##0.00_ "/>
    <numFmt numFmtId="178" formatCode="#,##0.0000000000000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等线"/>
      <family val="2"/>
    </font>
    <font>
      <sz val="9"/>
      <color rgb="FF595959"/>
      <name val="Calibri"/>
      <family val="2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176" fontId="2" fillId="0" borderId="0" xfId="1" applyNumberFormat="1" applyFont="1" applyFill="1" applyAlignment="1">
      <alignment horizontal="center"/>
    </xf>
    <xf numFmtId="0" fontId="3" fillId="0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176" fontId="2" fillId="0" borderId="0" xfId="1" applyNumberFormat="1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 vertical="center" readingOrder="1"/>
    </xf>
    <xf numFmtId="0" fontId="3" fillId="0" borderId="0" xfId="0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178" fontId="3" fillId="0" borderId="0" xfId="0" applyNumberFormat="1" applyFont="1" applyAlignment="1">
      <alignment horizontal="center"/>
    </xf>
    <xf numFmtId="176" fontId="9" fillId="0" borderId="0" xfId="0" applyNumberFormat="1" applyFont="1" applyFill="1" applyAlignment="1">
      <alignment horizontal="center"/>
    </xf>
    <xf numFmtId="17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readingOrder="1"/>
    </xf>
  </cellXfs>
  <cellStyles count="2">
    <cellStyle name="常规" xfId="0" builtinId="0"/>
    <cellStyle name="常规 68" xfId="1" xr:uid="{64238371-E2DD-43CB-8F26-10E18DB0F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H22" sqref="H22"/>
    </sheetView>
  </sheetViews>
  <sheetFormatPr defaultRowHeight="14.25" x14ac:dyDescent="0.2"/>
  <cols>
    <col min="1" max="1" width="25" bestFit="1" customWidth="1"/>
    <col min="4" max="4" width="11.625" customWidth="1"/>
    <col min="5" max="5" width="8.75" customWidth="1"/>
  </cols>
  <sheetData>
    <row r="1" spans="1:17" ht="15" x14ac:dyDescent="0.2">
      <c r="A1" s="5" t="s">
        <v>0</v>
      </c>
      <c r="B1" s="23" t="s">
        <v>7</v>
      </c>
      <c r="C1" s="23"/>
      <c r="D1" s="23"/>
      <c r="E1" s="23"/>
      <c r="F1" s="23" t="s">
        <v>9</v>
      </c>
      <c r="G1" s="23"/>
      <c r="H1" s="23"/>
      <c r="I1" s="23"/>
      <c r="J1" s="23" t="s">
        <v>8</v>
      </c>
      <c r="K1" s="23"/>
      <c r="L1" s="23"/>
      <c r="M1" s="23"/>
      <c r="N1" s="23" t="s">
        <v>10</v>
      </c>
      <c r="O1" s="23"/>
      <c r="P1" s="23"/>
      <c r="Q1" s="23"/>
    </row>
    <row r="2" spans="1:17" ht="15" x14ac:dyDescent="0.2">
      <c r="A2" s="5" t="s">
        <v>2</v>
      </c>
      <c r="B2" s="23" t="s">
        <v>4</v>
      </c>
      <c r="C2" s="23"/>
      <c r="D2" s="23" t="s">
        <v>3</v>
      </c>
      <c r="E2" s="23"/>
      <c r="F2" s="23" t="s">
        <v>4</v>
      </c>
      <c r="G2" s="23"/>
      <c r="H2" s="23" t="s">
        <v>3</v>
      </c>
      <c r="I2" s="23"/>
      <c r="J2" s="23" t="s">
        <v>4</v>
      </c>
      <c r="K2" s="23"/>
      <c r="L2" s="23" t="s">
        <v>3</v>
      </c>
      <c r="M2" s="23"/>
      <c r="N2" s="23" t="s">
        <v>4</v>
      </c>
      <c r="O2" s="23"/>
      <c r="P2" s="23" t="s">
        <v>3</v>
      </c>
      <c r="Q2" s="23"/>
    </row>
    <row r="3" spans="1:17" ht="15" x14ac:dyDescent="0.2">
      <c r="A3" s="5" t="s">
        <v>1</v>
      </c>
      <c r="B3" s="17" t="s">
        <v>5</v>
      </c>
      <c r="C3" s="17" t="s">
        <v>6</v>
      </c>
      <c r="D3" s="17" t="s">
        <v>5</v>
      </c>
      <c r="E3" s="17" t="s">
        <v>6</v>
      </c>
      <c r="F3" s="17" t="s">
        <v>5</v>
      </c>
      <c r="G3" s="17" t="s">
        <v>6</v>
      </c>
      <c r="H3" s="17" t="s">
        <v>5</v>
      </c>
      <c r="I3" s="17" t="s">
        <v>6</v>
      </c>
      <c r="J3" s="17" t="s">
        <v>5</v>
      </c>
      <c r="K3" s="17" t="s">
        <v>6</v>
      </c>
      <c r="L3" s="17" t="s">
        <v>5</v>
      </c>
      <c r="M3" s="17" t="s">
        <v>6</v>
      </c>
      <c r="N3" s="17" t="s">
        <v>5</v>
      </c>
      <c r="O3" s="17" t="s">
        <v>6</v>
      </c>
      <c r="P3" s="17" t="s">
        <v>5</v>
      </c>
      <c r="Q3" s="17" t="s">
        <v>6</v>
      </c>
    </row>
    <row r="4" spans="1:17" ht="15" x14ac:dyDescent="0.25">
      <c r="A4" s="23" t="s">
        <v>17</v>
      </c>
      <c r="B4" s="14">
        <v>0.89502507092797345</v>
      </c>
      <c r="C4" s="14">
        <v>1.0619138039623583</v>
      </c>
      <c r="D4" s="15">
        <v>357.24478905670162</v>
      </c>
      <c r="E4" s="15">
        <v>152.47151679744684</v>
      </c>
      <c r="F4" s="15">
        <v>0.84674531236252704</v>
      </c>
      <c r="G4" s="15">
        <v>0.64319733468820073</v>
      </c>
      <c r="H4" s="15">
        <v>760.07606816207385</v>
      </c>
      <c r="I4" s="15">
        <v>232.86230886356032</v>
      </c>
      <c r="J4" s="15">
        <v>1.0046316744020536</v>
      </c>
      <c r="K4" s="15">
        <v>0.85856543643775574</v>
      </c>
      <c r="L4" s="15">
        <v>323.39532747931918</v>
      </c>
      <c r="M4" s="15">
        <v>143.53553417037762</v>
      </c>
      <c r="N4" s="15">
        <v>1.0023131618421732</v>
      </c>
      <c r="O4" s="15">
        <v>0.96370711839155332</v>
      </c>
      <c r="P4" s="15">
        <v>82.291102162946359</v>
      </c>
      <c r="Q4" s="15">
        <v>34.847163177733542</v>
      </c>
    </row>
    <row r="5" spans="1:17" ht="15" x14ac:dyDescent="0.25">
      <c r="A5" s="23"/>
      <c r="B5" s="14">
        <v>0.98623270449336076</v>
      </c>
      <c r="C5" s="14">
        <v>0.98395665350811334</v>
      </c>
      <c r="D5" s="15">
        <v>295.1268996003455</v>
      </c>
      <c r="E5" s="15">
        <v>153.89583003893759</v>
      </c>
      <c r="F5" s="15">
        <v>1.1019051158766098</v>
      </c>
      <c r="G5" s="15">
        <v>0.57968189543779458</v>
      </c>
      <c r="H5" s="15">
        <v>661.68464928639548</v>
      </c>
      <c r="I5" s="15">
        <v>271.2225521559796</v>
      </c>
      <c r="J5" s="15">
        <v>1.0400599338884779</v>
      </c>
      <c r="K5" s="15">
        <v>0.80106987758962311</v>
      </c>
      <c r="L5" s="15">
        <v>371.61208390859071</v>
      </c>
      <c r="M5" s="15">
        <v>143.94905625654815</v>
      </c>
      <c r="N5" s="15">
        <v>1.0304920203292973</v>
      </c>
      <c r="O5" s="15">
        <v>0.97041023149354089</v>
      </c>
      <c r="P5" s="15">
        <v>68.859895761473069</v>
      </c>
      <c r="Q5" s="15">
        <v>35.371340684011123</v>
      </c>
    </row>
    <row r="6" spans="1:17" ht="15" x14ac:dyDescent="0.25">
      <c r="A6" s="23"/>
      <c r="B6" s="14">
        <v>1.1328838852957999</v>
      </c>
      <c r="C6" s="14">
        <v>1.1381310345878244</v>
      </c>
      <c r="D6" s="15">
        <v>409.75302837069501</v>
      </c>
      <c r="E6" s="15">
        <v>147.4381903756142</v>
      </c>
      <c r="F6" s="15">
        <v>1.0717734625362929</v>
      </c>
      <c r="G6" s="15">
        <v>0.6212876722429671</v>
      </c>
      <c r="H6" s="15">
        <v>680.28713681741465</v>
      </c>
      <c r="I6" s="15">
        <v>201.31813578085917</v>
      </c>
      <c r="J6" s="15">
        <v>0.95705030707390093</v>
      </c>
      <c r="K6" s="15">
        <v>0.91383145022940271</v>
      </c>
      <c r="L6" s="15">
        <v>355.39665950789043</v>
      </c>
      <c r="M6" s="15">
        <v>145.7601275298226</v>
      </c>
      <c r="N6" s="15">
        <v>0.96817069598288297</v>
      </c>
      <c r="O6" s="15">
        <v>1.0257411214340193</v>
      </c>
      <c r="P6" s="15">
        <v>94.433146774421871</v>
      </c>
      <c r="Q6" s="15">
        <v>33.884342446148402</v>
      </c>
    </row>
    <row r="7" spans="1:17" ht="15" x14ac:dyDescent="0.25">
      <c r="A7" s="5" t="s">
        <v>25</v>
      </c>
      <c r="B7" s="15">
        <f>AVERAGE(B4:B6)</f>
        <v>1.0047138869057113</v>
      </c>
      <c r="C7" s="15">
        <f t="shared" ref="C7:Q7" si="0">AVERAGE(C4:C6)</f>
        <v>1.0613338306860987</v>
      </c>
      <c r="D7" s="15">
        <f t="shared" si="0"/>
        <v>354.04157234258065</v>
      </c>
      <c r="E7" s="15">
        <f t="shared" si="0"/>
        <v>151.26851240399955</v>
      </c>
      <c r="F7" s="15">
        <f t="shared" si="0"/>
        <v>1.0068079635918099</v>
      </c>
      <c r="G7" s="15">
        <f t="shared" si="0"/>
        <v>0.61472230078965417</v>
      </c>
      <c r="H7" s="15">
        <f t="shared" si="0"/>
        <v>700.68261808862792</v>
      </c>
      <c r="I7" s="15">
        <f t="shared" si="0"/>
        <v>235.13433226679967</v>
      </c>
      <c r="J7" s="15">
        <f t="shared" si="0"/>
        <v>1.0005806384548108</v>
      </c>
      <c r="K7" s="15">
        <f t="shared" si="0"/>
        <v>0.85782225475226059</v>
      </c>
      <c r="L7" s="15">
        <f t="shared" si="0"/>
        <v>350.13469029860011</v>
      </c>
      <c r="M7" s="15">
        <f t="shared" si="0"/>
        <v>144.41490598558278</v>
      </c>
      <c r="N7" s="15">
        <f t="shared" si="0"/>
        <v>1.0003252927181179</v>
      </c>
      <c r="O7" s="15">
        <f t="shared" si="0"/>
        <v>0.98661949043970454</v>
      </c>
      <c r="P7" s="15">
        <f t="shared" si="0"/>
        <v>81.861381566280429</v>
      </c>
      <c r="Q7" s="15">
        <f t="shared" si="0"/>
        <v>34.700948769297689</v>
      </c>
    </row>
    <row r="8" spans="1:17" ht="15" x14ac:dyDescent="0.25">
      <c r="A8" s="5" t="s">
        <v>26</v>
      </c>
      <c r="B8" s="15">
        <f>STDEV(B4:B6)</f>
        <v>0.12000153945110854</v>
      </c>
      <c r="C8" s="15">
        <f t="shared" ref="C8:Q8" si="1">STDEV(C4:C6)</f>
        <v>7.7088826830344695E-2</v>
      </c>
      <c r="D8" s="15">
        <f t="shared" si="1"/>
        <v>57.380160310053398</v>
      </c>
      <c r="E8" s="15">
        <f t="shared" si="1"/>
        <v>3.3927411017232045</v>
      </c>
      <c r="F8" s="15">
        <f t="shared" si="1"/>
        <v>0.13943463835132763</v>
      </c>
      <c r="G8" s="15">
        <f t="shared" si="1"/>
        <v>3.2262684831442519E-2</v>
      </c>
      <c r="H8" s="15">
        <f t="shared" si="1"/>
        <v>52.270446423439033</v>
      </c>
      <c r="I8" s="15">
        <f t="shared" si="1"/>
        <v>35.00754811387408</v>
      </c>
      <c r="J8" s="15">
        <f t="shared" si="1"/>
        <v>4.165282349563143E-2</v>
      </c>
      <c r="K8" s="15">
        <f t="shared" si="1"/>
        <v>5.6384459785585553E-2</v>
      </c>
      <c r="L8" s="15">
        <f t="shared" si="1"/>
        <v>24.535283575079461</v>
      </c>
      <c r="M8" s="15">
        <f t="shared" si="1"/>
        <v>1.1832015387299462</v>
      </c>
      <c r="N8" s="15">
        <f t="shared" si="1"/>
        <v>3.1208181376259723E-2</v>
      </c>
      <c r="O8" s="15">
        <f t="shared" si="1"/>
        <v>3.4045696351462811E-2</v>
      </c>
      <c r="P8" s="15">
        <f t="shared" si="1"/>
        <v>12.792039973601696</v>
      </c>
      <c r="Q8" s="15">
        <f t="shared" si="1"/>
        <v>0.75420483277249983</v>
      </c>
    </row>
    <row r="9" spans="1:17" ht="15" x14ac:dyDescent="0.25">
      <c r="A9" s="15" t="s">
        <v>24</v>
      </c>
      <c r="B9" s="15">
        <f>_xlfn.T.TEST(B4:B6, C4:C6, 2, 1)</f>
        <v>0.41271603111321942</v>
      </c>
      <c r="C9" s="15"/>
      <c r="D9" s="15">
        <f>_xlfn.T.TEST(D4:D6, E4:E6, 2, 1)</f>
        <v>2.8474838622125027E-2</v>
      </c>
      <c r="E9" s="15"/>
      <c r="F9" s="15">
        <f>_xlfn.T.TEST(F4:F6, G4:G6, 2, 1)</f>
        <v>5.5591111560150064E-2</v>
      </c>
      <c r="G9" s="15"/>
      <c r="H9" s="15">
        <f>_xlfn.T.TEST(H4:H6, I4:I6, 2, 1)</f>
        <v>7.3170839383523709E-3</v>
      </c>
      <c r="I9" s="15"/>
      <c r="J9" s="15">
        <f>_xlfn.T.TEST(J4:J6, K4:K6, 2, 1)</f>
        <v>0.12752728723372952</v>
      </c>
      <c r="K9" s="15"/>
      <c r="L9" s="15">
        <f>_xlfn.T.TEST(L4:L6, M4:M6, 2, 1)</f>
        <v>4.5589322650880166E-3</v>
      </c>
      <c r="M9" s="15"/>
      <c r="N9" s="15">
        <f>_xlfn.T.TEST(N4:N6, O4:O6, 2, 1)</f>
        <v>0.74120951497101173</v>
      </c>
      <c r="O9" s="15"/>
      <c r="P9" s="15">
        <f>_xlfn.T.TEST(P4:P6, Q4:Q6, 2, 1)</f>
        <v>2.6364854081288778E-2</v>
      </c>
      <c r="Q9" s="15"/>
    </row>
  </sheetData>
  <mergeCells count="13">
    <mergeCell ref="L2:M2"/>
    <mergeCell ref="N2:O2"/>
    <mergeCell ref="B1:E1"/>
    <mergeCell ref="P2:Q2"/>
    <mergeCell ref="A4:A6"/>
    <mergeCell ref="F1:I1"/>
    <mergeCell ref="J1:M1"/>
    <mergeCell ref="N1:Q1"/>
    <mergeCell ref="B2:C2"/>
    <mergeCell ref="D2:E2"/>
    <mergeCell ref="F2:G2"/>
    <mergeCell ref="H2:I2"/>
    <mergeCell ref="J2:K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65F8-1A80-44BA-8AFB-1B32FEC7B58B}">
  <dimension ref="A1:T53"/>
  <sheetViews>
    <sheetView zoomScaleNormal="100" workbookViewId="0">
      <selection activeCell="K36" sqref="K36"/>
    </sheetView>
  </sheetViews>
  <sheetFormatPr defaultRowHeight="15" x14ac:dyDescent="0.25"/>
  <cols>
    <col min="1" max="1" width="9" style="14"/>
    <col min="2" max="2" width="9" style="14" customWidth="1"/>
    <col min="3" max="4" width="9" style="14"/>
    <col min="5" max="5" width="17.5" style="14" customWidth="1"/>
    <col min="6" max="6" width="19.25" style="14" bestFit="1" customWidth="1"/>
    <col min="7" max="7" width="18.25" style="14" bestFit="1" customWidth="1"/>
    <col min="8" max="8" width="18.125" style="14" bestFit="1" customWidth="1"/>
    <col min="9" max="9" width="13" style="14" customWidth="1"/>
    <col min="10" max="10" width="19.25" style="14" bestFit="1" customWidth="1"/>
    <col min="11" max="12" width="20.375" style="14" bestFit="1" customWidth="1"/>
    <col min="13" max="16384" width="9" style="14"/>
  </cols>
  <sheetData>
    <row r="1" spans="1:20" x14ac:dyDescent="0.25">
      <c r="G1" s="24" t="s">
        <v>16</v>
      </c>
      <c r="H1" s="24"/>
      <c r="Q1" s="25"/>
      <c r="R1" s="25"/>
      <c r="S1" s="25"/>
      <c r="T1" s="25"/>
    </row>
    <row r="2" spans="1:20" x14ac:dyDescent="0.25">
      <c r="A2" s="3"/>
      <c r="B2" s="3" t="s">
        <v>4</v>
      </c>
      <c r="C2" s="6" t="s">
        <v>5</v>
      </c>
      <c r="D2" s="6" t="s">
        <v>6</v>
      </c>
      <c r="E2" s="6"/>
      <c r="F2" s="3" t="s">
        <v>4</v>
      </c>
      <c r="G2" s="6" t="s">
        <v>5</v>
      </c>
      <c r="H2" s="6" t="s">
        <v>6</v>
      </c>
    </row>
    <row r="3" spans="1:20" x14ac:dyDescent="0.25">
      <c r="A3" s="7" t="s">
        <v>11</v>
      </c>
      <c r="B3" s="18">
        <v>15.2743492126465</v>
      </c>
      <c r="C3" s="18">
        <v>16.8163051605225</v>
      </c>
      <c r="D3" s="18">
        <v>15.630846023559601</v>
      </c>
      <c r="E3" s="6"/>
      <c r="F3" s="14">
        <v>15.285570144653335</v>
      </c>
      <c r="G3" s="14">
        <v>16.749042510986332</v>
      </c>
      <c r="H3" s="14">
        <v>15.502843221028668</v>
      </c>
    </row>
    <row r="4" spans="1:20" x14ac:dyDescent="0.25">
      <c r="A4" s="7"/>
      <c r="B4" s="18">
        <v>15.2980031967163</v>
      </c>
      <c r="C4" s="18">
        <v>16.742979049682599</v>
      </c>
      <c r="D4" s="18">
        <v>15.464806556701699</v>
      </c>
      <c r="E4" s="6"/>
    </row>
    <row r="5" spans="1:20" x14ac:dyDescent="0.25">
      <c r="A5" s="7"/>
      <c r="B5" s="18">
        <v>15.2843580245972</v>
      </c>
      <c r="C5" s="18">
        <v>16.687843322753899</v>
      </c>
      <c r="D5" s="18">
        <v>15.4128770828247</v>
      </c>
      <c r="E5" s="6"/>
      <c r="G5" s="23" t="s">
        <v>15</v>
      </c>
      <c r="H5" s="23"/>
      <c r="J5" s="23" t="s">
        <v>17</v>
      </c>
      <c r="K5" s="23"/>
      <c r="M5" s="4"/>
    </row>
    <row r="6" spans="1:20" x14ac:dyDescent="0.25">
      <c r="A6" s="3"/>
      <c r="E6" s="6"/>
      <c r="F6" s="3" t="s">
        <v>4</v>
      </c>
      <c r="G6" s="6" t="s">
        <v>5</v>
      </c>
      <c r="H6" s="6" t="s">
        <v>6</v>
      </c>
      <c r="J6" s="6" t="s">
        <v>5</v>
      </c>
      <c r="K6" s="6" t="s">
        <v>6</v>
      </c>
      <c r="M6" s="6"/>
    </row>
    <row r="7" spans="1:20" x14ac:dyDescent="0.25">
      <c r="A7" s="18" t="s">
        <v>12</v>
      </c>
      <c r="B7" s="18">
        <v>25.079595565795898</v>
      </c>
      <c r="C7" s="18">
        <v>18.675756454467798</v>
      </c>
      <c r="D7" s="18">
        <v>18.657930374145501</v>
      </c>
      <c r="E7" s="19"/>
      <c r="F7" s="20">
        <f>B7 - F3</f>
        <v>9.7940254211425639</v>
      </c>
      <c r="G7" s="20">
        <f t="shared" ref="G7:H7" si="0">C7 - G3</f>
        <v>1.9267139434814666</v>
      </c>
      <c r="H7" s="20">
        <f t="shared" si="0"/>
        <v>3.155087153116833</v>
      </c>
      <c r="J7" s="14">
        <f>POWER(2,F10-G7)</f>
        <v>357.24478905670162</v>
      </c>
      <c r="K7" s="14">
        <f>POWER(2,F10-H7)</f>
        <v>152.47151679744684</v>
      </c>
    </row>
    <row r="8" spans="1:20" x14ac:dyDescent="0.25">
      <c r="A8" s="18"/>
      <c r="B8" s="18">
        <v>26.306510925293001</v>
      </c>
      <c r="C8" s="18">
        <v>18.9513339996338</v>
      </c>
      <c r="D8" s="18">
        <v>18.644515991210898</v>
      </c>
      <c r="E8" s="19"/>
      <c r="F8" s="20">
        <f>B8 - F3</f>
        <v>11.020940780639666</v>
      </c>
      <c r="G8" s="20">
        <f>C8 - G3</f>
        <v>2.202291488647468</v>
      </c>
      <c r="H8" s="20">
        <f>D8 - H3</f>
        <v>3.1416727701822307</v>
      </c>
      <c r="J8" s="14">
        <f>POWER(2,F10-G8)</f>
        <v>295.1268996003455</v>
      </c>
      <c r="K8" s="14">
        <f>POWER(2,F10-H8)</f>
        <v>153.89583003893759</v>
      </c>
      <c r="L8" s="20"/>
    </row>
    <row r="9" spans="1:20" x14ac:dyDescent="0.25">
      <c r="A9" s="18"/>
      <c r="C9" s="18">
        <v>18.4779148101807</v>
      </c>
      <c r="D9" s="18">
        <v>18.7063598632813</v>
      </c>
      <c r="E9" s="19"/>
      <c r="G9" s="20">
        <f>C9 - G3</f>
        <v>1.7288722991943679</v>
      </c>
      <c r="H9" s="20">
        <f>D9 - H3</f>
        <v>3.203516642252632</v>
      </c>
      <c r="J9" s="14">
        <f>POWER(2,F10-G9)</f>
        <v>409.75302837069501</v>
      </c>
      <c r="K9" s="14">
        <f>POWER(2,F10-H9)</f>
        <v>147.4381903756142</v>
      </c>
      <c r="L9" s="20"/>
    </row>
    <row r="10" spans="1:20" x14ac:dyDescent="0.25">
      <c r="A10" s="7"/>
      <c r="B10" s="8"/>
      <c r="E10" s="6"/>
      <c r="F10" s="20">
        <f>AVERAGE(F7:F8)</f>
        <v>10.407483100891115</v>
      </c>
    </row>
    <row r="11" spans="1:20" x14ac:dyDescent="0.25">
      <c r="A11" s="7" t="s">
        <v>8</v>
      </c>
      <c r="B11" s="18">
        <v>23.379274368286101</v>
      </c>
      <c r="C11" s="18">
        <v>16.6822204589844</v>
      </c>
      <c r="D11" s="18">
        <v>16.607912063598601</v>
      </c>
      <c r="E11" s="6"/>
      <c r="F11" s="20">
        <f>B11 - F3</f>
        <v>8.0937042236327663</v>
      </c>
      <c r="G11" s="20">
        <f>C11 - G3</f>
        <v>-6.6822052001931809E-2</v>
      </c>
      <c r="H11" s="20">
        <f>D11 - H3</f>
        <v>1.1050688425699331</v>
      </c>
      <c r="J11" s="14">
        <f>POWER(2,F14-G11)</f>
        <v>323.39532747931918</v>
      </c>
      <c r="K11" s="14">
        <f>POWER(2,F14-H11)</f>
        <v>143.53553417037762</v>
      </c>
    </row>
    <row r="12" spans="1:20" x14ac:dyDescent="0.25">
      <c r="A12" s="7"/>
      <c r="B12" s="18">
        <v>23.6311130523682</v>
      </c>
      <c r="C12" s="18">
        <v>16.4817218780518</v>
      </c>
      <c r="D12" s="18">
        <v>16.603761672973601</v>
      </c>
      <c r="E12" s="6"/>
      <c r="F12" s="20">
        <f>B12 - F3</f>
        <v>8.3455429077148651</v>
      </c>
      <c r="G12" s="20">
        <f>C12 - G3</f>
        <v>-0.26732063293453123</v>
      </c>
      <c r="H12" s="20">
        <f>D12 - H3</f>
        <v>1.1009184519449331</v>
      </c>
      <c r="J12" s="14">
        <f>POWER(2,F14-G12)</f>
        <v>371.61208390859071</v>
      </c>
      <c r="K12" s="14">
        <f>POWER(2,F14-H12)</f>
        <v>143.94905625654815</v>
      </c>
      <c r="L12" s="20"/>
    </row>
    <row r="13" spans="1:20" x14ac:dyDescent="0.25">
      <c r="A13" s="7"/>
      <c r="B13" s="18">
        <v>23.657321929931602</v>
      </c>
      <c r="C13" s="18">
        <v>16.546089172363299</v>
      </c>
      <c r="D13" s="18">
        <v>16.5857238769531</v>
      </c>
      <c r="E13" s="6"/>
      <c r="F13" s="20">
        <f>B13 - F3</f>
        <v>8.371751785278267</v>
      </c>
      <c r="G13" s="20">
        <f>C13 - G3</f>
        <v>-0.20295333862303266</v>
      </c>
      <c r="H13" s="20">
        <f>D13 - H3</f>
        <v>1.0828806559244324</v>
      </c>
      <c r="J13" s="14">
        <f>POWER(2,F14-G13)</f>
        <v>355.39665950789043</v>
      </c>
      <c r="K13" s="14">
        <f>POWER(2,F14-H13)</f>
        <v>145.7601275298226</v>
      </c>
      <c r="L13" s="20"/>
    </row>
    <row r="14" spans="1:20" x14ac:dyDescent="0.25">
      <c r="A14" s="6"/>
      <c r="E14" s="6"/>
      <c r="F14" s="20">
        <f>AVERAGE(F11:F13)</f>
        <v>8.2703329722086334</v>
      </c>
    </row>
    <row r="15" spans="1:20" x14ac:dyDescent="0.25">
      <c r="A15" s="7" t="s">
        <v>13</v>
      </c>
      <c r="B15" s="18">
        <v>23.814102172851602</v>
      </c>
      <c r="C15" s="18">
        <v>18.939983367919901</v>
      </c>
      <c r="D15" s="18">
        <v>18.933479309081999</v>
      </c>
      <c r="E15" s="6"/>
      <c r="F15" s="20">
        <f>B15 - F3</f>
        <v>8.5285320281982671</v>
      </c>
      <c r="G15" s="20">
        <f>C15 - G3</f>
        <v>2.1909408569335689</v>
      </c>
      <c r="H15" s="20">
        <f t="shared" ref="H15" si="1">D15 - H3</f>
        <v>3.4306360880533315</v>
      </c>
      <c r="J15" s="14">
        <f>POWER(2,F18-G15)</f>
        <v>82.291102162946359</v>
      </c>
      <c r="K15" s="14">
        <f>POWER(2,F18-H15)</f>
        <v>34.847163177733542</v>
      </c>
    </row>
    <row r="16" spans="1:20" x14ac:dyDescent="0.25">
      <c r="A16" s="6"/>
      <c r="B16" s="18">
        <v>23.805934906005898</v>
      </c>
      <c r="C16" s="18">
        <v>19.197055816650401</v>
      </c>
      <c r="D16" s="18">
        <v>18.911939620971701</v>
      </c>
      <c r="E16" s="6"/>
      <c r="F16" s="20">
        <f>B16 - F3</f>
        <v>8.5203647613525639</v>
      </c>
      <c r="G16" s="20">
        <f t="shared" ref="G16:H16" si="2">C16 - G3</f>
        <v>2.4480133056640696</v>
      </c>
      <c r="H16" s="20">
        <f t="shared" si="2"/>
        <v>3.4090963999430333</v>
      </c>
      <c r="J16" s="14">
        <f>POWER(2,F18-G16)</f>
        <v>68.859895761473069</v>
      </c>
      <c r="K16" s="14">
        <f>POWER(2,F18-H16)</f>
        <v>35.371340684011123</v>
      </c>
      <c r="L16" s="20"/>
    </row>
    <row r="17" spans="1:13" x14ac:dyDescent="0.25">
      <c r="A17" s="6"/>
      <c r="B17" s="18">
        <v>23.897489547729499</v>
      </c>
      <c r="C17" s="18">
        <v>18.741426467895501</v>
      </c>
      <c r="D17" s="18">
        <v>18.973901748657202</v>
      </c>
      <c r="E17" s="6"/>
      <c r="F17" s="20">
        <f>B17 - F3</f>
        <v>8.6119194030761648</v>
      </c>
      <c r="G17" s="20">
        <f t="shared" ref="G17:H17" si="3">C17 - G3</f>
        <v>1.992383956909169</v>
      </c>
      <c r="H17" s="20">
        <f t="shared" si="3"/>
        <v>3.471058527628534</v>
      </c>
      <c r="J17" s="14">
        <f>POWER(2,F18-G17)</f>
        <v>94.433146774421871</v>
      </c>
      <c r="K17" s="14">
        <f>POWER(2,F18-H17)</f>
        <v>33.884342446148402</v>
      </c>
      <c r="L17" s="20"/>
    </row>
    <row r="18" spans="1:13" x14ac:dyDescent="0.25">
      <c r="F18" s="20">
        <f>AVERAGE(F15:F17)</f>
        <v>8.5536053975423325</v>
      </c>
    </row>
    <row r="20" spans="1:13" x14ac:dyDescent="0.25">
      <c r="G20" s="24" t="s">
        <v>16</v>
      </c>
      <c r="H20" s="24"/>
    </row>
    <row r="21" spans="1:13" x14ac:dyDescent="0.25">
      <c r="A21" s="2"/>
      <c r="B21" s="3" t="s">
        <v>4</v>
      </c>
      <c r="C21" s="6" t="s">
        <v>5</v>
      </c>
      <c r="D21" s="6" t="s">
        <v>6</v>
      </c>
      <c r="F21" s="3" t="s">
        <v>4</v>
      </c>
      <c r="G21" s="6" t="s">
        <v>5</v>
      </c>
      <c r="H21" s="6" t="s">
        <v>6</v>
      </c>
      <c r="M21" s="6"/>
    </row>
    <row r="22" spans="1:13" x14ac:dyDescent="0.25">
      <c r="A22" s="10" t="s">
        <v>11</v>
      </c>
      <c r="B22" s="11">
        <v>15.88</v>
      </c>
      <c r="C22" s="11">
        <v>17.46</v>
      </c>
      <c r="D22" s="11">
        <v>15.94</v>
      </c>
      <c r="F22" s="12">
        <f>AVERAGE(B22:B24)</f>
        <v>15.553333333333333</v>
      </c>
      <c r="G22" s="12">
        <f>AVERAGE(C22:C24)</f>
        <v>17.253333333333334</v>
      </c>
      <c r="H22" s="12">
        <f>AVERAGE(D22:D24)</f>
        <v>15.866666666666667</v>
      </c>
    </row>
    <row r="23" spans="1:13" x14ac:dyDescent="0.25">
      <c r="A23" s="10"/>
      <c r="B23" s="11">
        <v>14.83</v>
      </c>
      <c r="C23" s="11">
        <v>17.09</v>
      </c>
      <c r="D23" s="11">
        <v>16.010000000000002</v>
      </c>
    </row>
    <row r="24" spans="1:13" x14ac:dyDescent="0.25">
      <c r="A24" s="10"/>
      <c r="B24" s="11">
        <v>15.95</v>
      </c>
      <c r="C24" s="11">
        <v>17.21</v>
      </c>
      <c r="D24" s="11">
        <v>15.65</v>
      </c>
      <c r="G24" s="23" t="s">
        <v>15</v>
      </c>
      <c r="H24" s="23"/>
      <c r="J24" s="23" t="s">
        <v>17</v>
      </c>
      <c r="K24" s="23"/>
    </row>
    <row r="25" spans="1:13" x14ac:dyDescent="0.25">
      <c r="A25" s="2"/>
      <c r="F25" s="3" t="s">
        <v>4</v>
      </c>
      <c r="G25" s="6" t="s">
        <v>5</v>
      </c>
      <c r="H25" s="6" t="s">
        <v>6</v>
      </c>
      <c r="J25" s="6" t="s">
        <v>5</v>
      </c>
      <c r="K25" s="6" t="s">
        <v>6</v>
      </c>
    </row>
    <row r="26" spans="1:13" x14ac:dyDescent="0.25">
      <c r="A26" s="10" t="s">
        <v>14</v>
      </c>
      <c r="B26" s="11">
        <v>31.37</v>
      </c>
      <c r="C26" s="11">
        <v>23.31</v>
      </c>
      <c r="D26" s="11">
        <v>23.63</v>
      </c>
      <c r="F26" s="20">
        <f>B26 - F22</f>
        <v>15.816666666666668</v>
      </c>
      <c r="G26" s="20">
        <f>C26 - G22</f>
        <v>6.0566666666666649</v>
      </c>
      <c r="H26" s="20">
        <f>D26 - H22</f>
        <v>7.7633333333333319</v>
      </c>
      <c r="J26" s="14">
        <f>POWER(2,F29-G26)</f>
        <v>760.07606816207385</v>
      </c>
      <c r="K26" s="14">
        <f>POWER(2,F29-H26)</f>
        <v>232.86230886356032</v>
      </c>
      <c r="L26" s="22"/>
      <c r="M26" s="22"/>
    </row>
    <row r="27" spans="1:13" x14ac:dyDescent="0.25">
      <c r="A27" s="10"/>
      <c r="B27" s="11">
        <v>30.91</v>
      </c>
      <c r="C27" s="11">
        <v>23.51</v>
      </c>
      <c r="D27" s="11">
        <v>23.41</v>
      </c>
      <c r="F27" s="20">
        <f>B27 - F22</f>
        <v>15.356666666666667</v>
      </c>
      <c r="G27" s="20">
        <f>C27 - G22</f>
        <v>6.2566666666666677</v>
      </c>
      <c r="H27" s="20">
        <f>D27 - H22</f>
        <v>7.543333333333333</v>
      </c>
      <c r="J27" s="14">
        <f>POWER(2,F29-G27)</f>
        <v>661.68464928639548</v>
      </c>
      <c r="K27" s="14">
        <f>POWER(2,F29-H27)</f>
        <v>271.2225521559796</v>
      </c>
    </row>
    <row r="28" spans="1:13" x14ac:dyDescent="0.25">
      <c r="A28" s="10"/>
      <c r="B28" s="11">
        <v>31.26</v>
      </c>
      <c r="C28" s="11">
        <v>23.47</v>
      </c>
      <c r="D28" s="11">
        <v>23.84</v>
      </c>
      <c r="F28" s="20">
        <f>B28 - F22</f>
        <v>15.706666666666669</v>
      </c>
      <c r="G28" s="20">
        <f>C28 - G22</f>
        <v>6.216666666666665</v>
      </c>
      <c r="H28" s="20">
        <f>D28 - H22</f>
        <v>7.9733333333333327</v>
      </c>
      <c r="J28" s="14">
        <f>POWER(2,F29-G28)</f>
        <v>680.28713681741465</v>
      </c>
      <c r="K28" s="14">
        <f>POWER(2,F29-H28)</f>
        <v>201.31813578085917</v>
      </c>
    </row>
    <row r="29" spans="1:13" x14ac:dyDescent="0.25">
      <c r="F29" s="20">
        <f>AVERAGE(F26:F28)</f>
        <v>15.626666666666667</v>
      </c>
    </row>
    <row r="32" spans="1:13" x14ac:dyDescent="0.25">
      <c r="E32" s="24" t="s">
        <v>16</v>
      </c>
      <c r="F32" s="24"/>
    </row>
    <row r="33" spans="1:9" x14ac:dyDescent="0.25">
      <c r="A33" s="6"/>
      <c r="B33" s="6" t="s">
        <v>5</v>
      </c>
      <c r="C33" s="6" t="s">
        <v>6</v>
      </c>
      <c r="D33" s="6"/>
      <c r="E33" s="6" t="s">
        <v>5</v>
      </c>
      <c r="F33" s="6" t="s">
        <v>6</v>
      </c>
    </row>
    <row r="34" spans="1:9" x14ac:dyDescent="0.25">
      <c r="A34" s="9" t="s">
        <v>11</v>
      </c>
      <c r="B34" s="6">
        <v>16.29</v>
      </c>
      <c r="C34" s="6">
        <v>16.61</v>
      </c>
      <c r="D34" s="6"/>
      <c r="E34" s="6">
        <f>AVERAGE(B34:B36)</f>
        <v>16.529999999999998</v>
      </c>
      <c r="F34" s="6">
        <f>AVERAGE(C34:C36)</f>
        <v>16.533333333333331</v>
      </c>
    </row>
    <row r="35" spans="1:9" x14ac:dyDescent="0.25">
      <c r="A35" s="6"/>
      <c r="B35" s="6">
        <v>16.73</v>
      </c>
      <c r="C35" s="6">
        <v>16.440000000000001</v>
      </c>
      <c r="D35" s="6"/>
    </row>
    <row r="36" spans="1:9" x14ac:dyDescent="0.25">
      <c r="A36" s="6"/>
      <c r="B36" s="6">
        <v>16.57</v>
      </c>
      <c r="C36" s="6">
        <v>16.55</v>
      </c>
      <c r="D36" s="6"/>
      <c r="E36" s="23" t="s">
        <v>15</v>
      </c>
      <c r="F36" s="23"/>
      <c r="H36" s="23" t="s">
        <v>17</v>
      </c>
      <c r="I36" s="23"/>
    </row>
    <row r="37" spans="1:9" x14ac:dyDescent="0.25">
      <c r="A37" s="6"/>
      <c r="D37" s="6"/>
      <c r="E37" s="17" t="s">
        <v>5</v>
      </c>
      <c r="F37" s="17" t="s">
        <v>6</v>
      </c>
      <c r="H37" s="17" t="s">
        <v>5</v>
      </c>
      <c r="I37" s="17" t="s">
        <v>6</v>
      </c>
    </row>
    <row r="38" spans="1:9" x14ac:dyDescent="0.25">
      <c r="A38" s="9" t="s">
        <v>12</v>
      </c>
      <c r="B38" s="6">
        <v>27.16</v>
      </c>
      <c r="C38" s="6">
        <v>27.41</v>
      </c>
      <c r="D38" s="6"/>
      <c r="E38" s="20">
        <f>B38 - E34</f>
        <v>10.630000000000003</v>
      </c>
      <c r="F38" s="20">
        <f>C38 - F34</f>
        <v>10.876666666666669</v>
      </c>
      <c r="H38" s="14">
        <f>POWER(2,E41-E38)</f>
        <v>1.1172871380722187</v>
      </c>
      <c r="I38" s="14">
        <f>POWER(2,E41-F38)</f>
        <v>0.94169601738734621</v>
      </c>
    </row>
    <row r="39" spans="1:9" x14ac:dyDescent="0.25">
      <c r="A39" s="6"/>
      <c r="B39" s="6">
        <v>27.3</v>
      </c>
      <c r="C39" s="6">
        <v>27.3</v>
      </c>
      <c r="D39" s="6"/>
      <c r="E39" s="20">
        <f>B39 - E34</f>
        <v>10.770000000000003</v>
      </c>
      <c r="F39" s="20">
        <f>C39 - F34</f>
        <v>10.766666666666669</v>
      </c>
      <c r="H39" s="14">
        <f>POWER(2,E41-E39)</f>
        <v>1.0139594797900275</v>
      </c>
      <c r="I39" s="14">
        <f>POWER(2,E41-F39)</f>
        <v>1.0163049321681876</v>
      </c>
    </row>
    <row r="40" spans="1:9" x14ac:dyDescent="0.25">
      <c r="A40" s="6"/>
      <c r="B40" s="6">
        <v>27.5</v>
      </c>
      <c r="C40" s="6">
        <v>27.51</v>
      </c>
      <c r="D40" s="6"/>
      <c r="E40" s="20">
        <f>B40 - E34</f>
        <v>10.970000000000002</v>
      </c>
      <c r="F40" s="20">
        <f>C40 - F34</f>
        <v>10.97666666666667</v>
      </c>
      <c r="H40" s="14">
        <f>POWER(2,E41-E40)</f>
        <v>0.88270299629065385</v>
      </c>
      <c r="I40" s="14">
        <f>POWER(2,E41-F40)</f>
        <v>0.87863345222121214</v>
      </c>
    </row>
    <row r="41" spans="1:9" x14ac:dyDescent="0.25">
      <c r="A41" s="6"/>
      <c r="D41" s="6"/>
      <c r="E41" s="20">
        <f>AVERAGE(E38:E40)</f>
        <v>10.790000000000001</v>
      </c>
    </row>
    <row r="42" spans="1:9" x14ac:dyDescent="0.25">
      <c r="A42" s="9" t="s">
        <v>8</v>
      </c>
      <c r="B42" s="6">
        <v>20.100000000000001</v>
      </c>
      <c r="C42" s="6">
        <v>20.329999999999998</v>
      </c>
      <c r="D42" s="6"/>
      <c r="E42" s="20">
        <f>B42 - E34</f>
        <v>3.5700000000000038</v>
      </c>
      <c r="F42" s="20">
        <f>C42 - F34</f>
        <v>3.7966666666666669</v>
      </c>
      <c r="H42" s="14">
        <f>POWER(2,E45-E42)</f>
        <v>1.0046316744020536</v>
      </c>
      <c r="I42" s="14">
        <f>POWER(2,E45-F42)</f>
        <v>0.85856543643775574</v>
      </c>
    </row>
    <row r="43" spans="1:9" x14ac:dyDescent="0.25">
      <c r="A43" s="6"/>
      <c r="B43" s="6">
        <v>20.05</v>
      </c>
      <c r="C43" s="6">
        <v>20.43</v>
      </c>
      <c r="D43" s="6"/>
      <c r="E43" s="20">
        <f>B43 - E34</f>
        <v>3.5200000000000031</v>
      </c>
      <c r="F43" s="20">
        <f>C43 - F34</f>
        <v>3.8966666666666683</v>
      </c>
      <c r="H43" s="14">
        <f>POWER(2,E45-E43)</f>
        <v>1.0400599338884779</v>
      </c>
      <c r="I43" s="14">
        <f>POWER(2,E45-F43)</f>
        <v>0.80106987758962311</v>
      </c>
    </row>
    <row r="44" spans="1:9" x14ac:dyDescent="0.25">
      <c r="A44" s="6"/>
      <c r="B44" s="6">
        <v>20.170000000000002</v>
      </c>
      <c r="C44" s="6">
        <v>20.239999999999998</v>
      </c>
      <c r="D44" s="6"/>
      <c r="E44" s="20">
        <f>B44 - E34</f>
        <v>3.6400000000000041</v>
      </c>
      <c r="F44" s="20">
        <f>C44 - F34</f>
        <v>3.706666666666667</v>
      </c>
      <c r="H44" s="14">
        <f>POWER(2,E45-E44)</f>
        <v>0.95705030707390093</v>
      </c>
      <c r="I44" s="14">
        <f>POWER(2,E45-F44)</f>
        <v>0.91383145022940271</v>
      </c>
    </row>
    <row r="45" spans="1:9" x14ac:dyDescent="0.25">
      <c r="A45" s="6"/>
      <c r="D45" s="6"/>
      <c r="E45" s="20">
        <f>AVERAGE(E42:E44)</f>
        <v>3.5766666666666702</v>
      </c>
    </row>
    <row r="46" spans="1:9" x14ac:dyDescent="0.25">
      <c r="A46" s="9" t="s">
        <v>13</v>
      </c>
      <c r="B46" s="21">
        <v>20.66</v>
      </c>
      <c r="C46" s="6">
        <v>20.72</v>
      </c>
      <c r="D46" s="6"/>
      <c r="E46" s="20">
        <f>B46 - E34</f>
        <v>4.1300000000000026</v>
      </c>
      <c r="F46" s="20">
        <f>C46 - F34</f>
        <v>4.1866666666666674</v>
      </c>
      <c r="H46" s="14">
        <f>POWER(2,E49-E46)</f>
        <v>1.0023131618421732</v>
      </c>
      <c r="I46" s="14">
        <f>POWER(2,E49-F46)</f>
        <v>0.96370711839155332</v>
      </c>
    </row>
    <row r="47" spans="1:9" x14ac:dyDescent="0.25">
      <c r="A47" s="6"/>
      <c r="B47" s="21">
        <v>20.62</v>
      </c>
      <c r="C47" s="6">
        <v>20.71</v>
      </c>
      <c r="D47" s="6"/>
      <c r="E47" s="20">
        <f>B47 - E34</f>
        <v>4.0900000000000034</v>
      </c>
      <c r="F47" s="20">
        <f>C47 - F34</f>
        <v>4.1766666666666694</v>
      </c>
      <c r="H47" s="14">
        <f>POWER(2,E49-E47)</f>
        <v>1.0304920203292973</v>
      </c>
      <c r="I47" s="14">
        <f>POWER(2,E49-F47)</f>
        <v>0.97041023149354089</v>
      </c>
    </row>
    <row r="48" spans="1:9" x14ac:dyDescent="0.25">
      <c r="A48" s="6"/>
      <c r="B48" s="21">
        <v>20.71</v>
      </c>
      <c r="C48" s="6">
        <v>20.63</v>
      </c>
      <c r="D48" s="6"/>
      <c r="E48" s="20">
        <f>B48 - E34</f>
        <v>4.1800000000000033</v>
      </c>
      <c r="F48" s="20">
        <f>C48 - F34</f>
        <v>4.0966666666666676</v>
      </c>
      <c r="H48" s="14">
        <f>POWER(2,E49-E48)</f>
        <v>0.96817069598288297</v>
      </c>
      <c r="I48" s="14">
        <f>POWER(2,E49-F48)</f>
        <v>1.0257411214340193</v>
      </c>
    </row>
    <row r="49" spans="1:9" x14ac:dyDescent="0.25">
      <c r="A49" s="6"/>
      <c r="D49" s="6"/>
      <c r="E49" s="20">
        <f>AVERAGE(E46:E48)</f>
        <v>4.1333333333333364</v>
      </c>
    </row>
    <row r="50" spans="1:9" x14ac:dyDescent="0.25">
      <c r="A50" s="9" t="s">
        <v>14</v>
      </c>
      <c r="B50" s="21">
        <v>28.7</v>
      </c>
      <c r="C50" s="6">
        <v>29.1</v>
      </c>
      <c r="D50" s="6"/>
      <c r="E50" s="20">
        <f>B50 - E34</f>
        <v>12.170000000000002</v>
      </c>
      <c r="F50" s="20">
        <f>C50 - F34</f>
        <v>12.56666666666667</v>
      </c>
      <c r="H50" s="14">
        <f>POWER(2,E53-E50)</f>
        <v>0.84674531236252704</v>
      </c>
      <c r="I50" s="14">
        <f>POWER(2,E53-F50)</f>
        <v>0.64319733468820073</v>
      </c>
    </row>
    <row r="51" spans="1:9" x14ac:dyDescent="0.25">
      <c r="A51" s="6"/>
      <c r="B51" s="21">
        <v>28.32</v>
      </c>
      <c r="C51" s="6">
        <v>29.25</v>
      </c>
      <c r="D51" s="6"/>
      <c r="E51" s="20">
        <f>B51 - E34</f>
        <v>11.790000000000003</v>
      </c>
      <c r="F51" s="20">
        <f>C51 - F34</f>
        <v>12.716666666666669</v>
      </c>
      <c r="H51" s="14">
        <f>POWER(2,E53-E51)</f>
        <v>1.1019051158766098</v>
      </c>
      <c r="I51" s="14">
        <f>POWER(2,E53-F51)</f>
        <v>0.57968189543779458</v>
      </c>
    </row>
    <row r="52" spans="1:9" x14ac:dyDescent="0.25">
      <c r="A52" s="6"/>
      <c r="B52" s="21">
        <v>28.36</v>
      </c>
      <c r="C52" s="6">
        <v>29.15</v>
      </c>
      <c r="D52" s="6"/>
      <c r="E52" s="20">
        <f>B52 - E34</f>
        <v>11.830000000000002</v>
      </c>
      <c r="F52" s="20">
        <f>C52 - F34</f>
        <v>12.616666666666667</v>
      </c>
      <c r="H52" s="14">
        <f>POWER(2,E53-E52)</f>
        <v>1.0717734625362929</v>
      </c>
      <c r="I52" s="14">
        <f>POWER(2,E53-F52)</f>
        <v>0.6212876722429671</v>
      </c>
    </row>
    <row r="53" spans="1:9" x14ac:dyDescent="0.25">
      <c r="E53" s="20">
        <f>AVERAGE(E50:E52)</f>
        <v>11.930000000000001</v>
      </c>
    </row>
  </sheetData>
  <mergeCells count="10">
    <mergeCell ref="H36:I36"/>
    <mergeCell ref="G20:H20"/>
    <mergeCell ref="G24:H24"/>
    <mergeCell ref="E36:F36"/>
    <mergeCell ref="E32:F32"/>
    <mergeCell ref="J24:K24"/>
    <mergeCell ref="Q1:T1"/>
    <mergeCell ref="G5:H5"/>
    <mergeCell ref="G1:H1"/>
    <mergeCell ref="J5:K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AB29-E169-40E4-82E3-F74E95F09111}">
  <dimension ref="A1:S13"/>
  <sheetViews>
    <sheetView workbookViewId="0">
      <selection activeCell="C13" sqref="C13"/>
    </sheetView>
  </sheetViews>
  <sheetFormatPr defaultRowHeight="14.25" x14ac:dyDescent="0.2"/>
  <cols>
    <col min="11" max="11" width="10.375" customWidth="1"/>
  </cols>
  <sheetData>
    <row r="1" spans="1:19" ht="15" x14ac:dyDescent="0.25">
      <c r="A1" s="14" t="s">
        <v>21</v>
      </c>
      <c r="B1" s="4">
        <v>9</v>
      </c>
      <c r="C1" s="4">
        <v>8</v>
      </c>
      <c r="D1" s="4">
        <v>7</v>
      </c>
      <c r="E1" s="4">
        <v>6</v>
      </c>
      <c r="F1" s="4">
        <v>5</v>
      </c>
      <c r="G1" s="4">
        <v>4</v>
      </c>
      <c r="H1" s="4">
        <v>3</v>
      </c>
      <c r="I1" s="4">
        <v>2</v>
      </c>
      <c r="J1" s="4">
        <v>1</v>
      </c>
    </row>
    <row r="2" spans="1:19" ht="15" x14ac:dyDescent="0.2">
      <c r="A2" s="23" t="s">
        <v>18</v>
      </c>
      <c r="B2" s="4">
        <v>7.79</v>
      </c>
      <c r="C2" s="4">
        <v>10.55</v>
      </c>
      <c r="D2" s="4">
        <v>14.41</v>
      </c>
      <c r="E2" s="4">
        <v>17.41</v>
      </c>
      <c r="F2" s="4">
        <v>20.059999999999999</v>
      </c>
      <c r="G2" s="4">
        <v>24.13</v>
      </c>
      <c r="H2" s="4">
        <v>27.28</v>
      </c>
      <c r="I2" s="4">
        <v>30.55</v>
      </c>
      <c r="J2" s="4">
        <v>33.19</v>
      </c>
    </row>
    <row r="3" spans="1:19" ht="15" x14ac:dyDescent="0.2">
      <c r="A3" s="23"/>
      <c r="B3" s="4">
        <v>8.1300000000000008</v>
      </c>
      <c r="C3" s="4">
        <v>10.18</v>
      </c>
      <c r="D3" s="4">
        <v>14.21</v>
      </c>
      <c r="E3" s="4">
        <v>17.309999999999999</v>
      </c>
      <c r="F3" s="4">
        <v>19.77</v>
      </c>
      <c r="G3" s="4">
        <v>23.91</v>
      </c>
      <c r="H3" s="4">
        <v>26.97</v>
      </c>
      <c r="I3" s="4">
        <v>30.78</v>
      </c>
      <c r="J3" s="4">
        <v>33.9</v>
      </c>
    </row>
    <row r="4" spans="1:19" ht="15" x14ac:dyDescent="0.2">
      <c r="A4" s="23"/>
      <c r="B4" s="4">
        <v>7.73</v>
      </c>
      <c r="C4" s="4">
        <v>10.32</v>
      </c>
      <c r="D4" s="4">
        <v>14.18</v>
      </c>
      <c r="E4" s="4">
        <v>17.399999999999999</v>
      </c>
      <c r="F4" s="4">
        <v>19.8</v>
      </c>
      <c r="G4" s="4">
        <v>23.99</v>
      </c>
      <c r="H4" s="4">
        <v>27.19</v>
      </c>
      <c r="I4" s="4">
        <v>30.91</v>
      </c>
      <c r="J4" s="4">
        <v>34.19</v>
      </c>
    </row>
    <row r="5" spans="1:19" ht="15" x14ac:dyDescent="0.25">
      <c r="A5" s="14" t="s">
        <v>19</v>
      </c>
      <c r="B5" s="4">
        <v>7.8833333333333302</v>
      </c>
      <c r="C5" s="4">
        <v>10.35</v>
      </c>
      <c r="D5" s="4">
        <v>14.266666666666699</v>
      </c>
      <c r="E5" s="4">
        <v>17.373333333333299</v>
      </c>
      <c r="F5" s="4">
        <v>19.876666666666701</v>
      </c>
      <c r="G5" s="4">
        <v>24.01</v>
      </c>
      <c r="H5" s="4">
        <v>27.1466666666667</v>
      </c>
      <c r="I5" s="4">
        <v>30.746666666666702</v>
      </c>
      <c r="J5" s="4">
        <v>33.76</v>
      </c>
      <c r="K5" s="26" t="s">
        <v>23</v>
      </c>
      <c r="L5" s="26"/>
      <c r="M5" s="26"/>
    </row>
    <row r="7" spans="1:19" ht="15" x14ac:dyDescent="0.25">
      <c r="A7" s="23" t="s">
        <v>22</v>
      </c>
      <c r="B7" s="23"/>
      <c r="C7" s="24" t="s">
        <v>20</v>
      </c>
      <c r="D7" s="24"/>
    </row>
    <row r="8" spans="1:19" ht="15" x14ac:dyDescent="0.25">
      <c r="A8" s="13" t="s">
        <v>4</v>
      </c>
      <c r="B8" s="6" t="s">
        <v>6</v>
      </c>
      <c r="C8" s="14" t="s">
        <v>4</v>
      </c>
      <c r="D8" s="6" t="s">
        <v>6</v>
      </c>
    </row>
    <row r="9" spans="1:19" ht="15" x14ac:dyDescent="0.25">
      <c r="A9" s="6">
        <v>15.44</v>
      </c>
      <c r="B9" s="6">
        <v>14.41</v>
      </c>
      <c r="C9" s="15">
        <f>11.262-0.3039*A9</f>
        <v>6.5697840000000003</v>
      </c>
      <c r="D9" s="15">
        <f>11.262-0.3029*B9</f>
        <v>6.8972110000000004</v>
      </c>
    </row>
    <row r="10" spans="1:19" ht="15" x14ac:dyDescent="0.25">
      <c r="A10" s="6">
        <v>15.52</v>
      </c>
      <c r="B10" s="6">
        <v>13.42</v>
      </c>
      <c r="C10" s="15">
        <f>11.262-0.3039*A10</f>
        <v>6.5454720000000002</v>
      </c>
      <c r="D10" s="15">
        <f>11.262-0.3029*B10</f>
        <v>7.1970820000000009</v>
      </c>
    </row>
    <row r="11" spans="1:19" ht="15" x14ac:dyDescent="0.25">
      <c r="A11" s="6">
        <v>15.69</v>
      </c>
      <c r="B11" s="6">
        <v>14.36</v>
      </c>
      <c r="C11" s="15">
        <f>11.262-0.3039*A11</f>
        <v>6.4938090000000006</v>
      </c>
      <c r="D11" s="15">
        <f>11.262-0.3029*B11</f>
        <v>6.9123560000000008</v>
      </c>
    </row>
    <row r="12" spans="1:19" x14ac:dyDescent="0.2">
      <c r="A12" s="1"/>
      <c r="S12" s="16"/>
    </row>
    <row r="13" spans="1:19" x14ac:dyDescent="0.2">
      <c r="A13" s="1"/>
      <c r="C13">
        <f>_xlfn.T.TEST(C9:C11, D9:D11, 1, 3)</f>
        <v>1.7763859354379696E-2</v>
      </c>
      <c r="S13" s="16"/>
    </row>
  </sheetData>
  <mergeCells count="4">
    <mergeCell ref="A2:A4"/>
    <mergeCell ref="A7:B7"/>
    <mergeCell ref="C7:D7"/>
    <mergeCell ref="K5:M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Relative expression levels</vt:lpstr>
      <vt:lpstr>CT</vt:lpstr>
      <vt:lpstr>N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 wen</cp:lastModifiedBy>
  <dcterms:created xsi:type="dcterms:W3CDTF">2015-06-05T18:19:34Z</dcterms:created>
  <dcterms:modified xsi:type="dcterms:W3CDTF">2026-05-29T13:27:03Z</dcterms:modified>
</cp:coreProperties>
</file>